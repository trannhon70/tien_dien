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1"/>
  </bookViews>
  <sheets>
    <sheet name="2025" sheetId="1" r:id="rId1"/>
    <sheet name="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<sst xmlns="http://schemas.openxmlformats.org/spreadsheetml/2006/main" count="200" uniqueCount="20">
  <si>
    <t>THÔNG TIN TIỀN ĐIỆN HÀNG THÁNG</t>
  </si>
  <si>
    <t>NHÀ SỐ 1</t>
  </si>
  <si>
    <t>Hoàng Anh</t>
  </si>
  <si>
    <t>Năm</t>
  </si>
  <si>
    <t xml:space="preserve">tháng </t>
  </si>
  <si>
    <t>số kg tháng trước</t>
  </si>
  <si>
    <t>số kg tháng hiện tại</t>
  </si>
  <si>
    <t>số điện tiêu thụ</t>
  </si>
  <si>
    <t>giá tiền điện</t>
  </si>
  <si>
    <t>tiền nước</t>
  </si>
  <si>
    <t>tổng tiền</t>
  </si>
  <si>
    <t>thanh toán</t>
  </si>
  <si>
    <t>note</t>
  </si>
  <si>
    <t>√</t>
  </si>
  <si>
    <t>A. Hoàng Anh</t>
  </si>
  <si>
    <t>Nguyễn Văn Gần</t>
  </si>
  <si>
    <t>NHÀ SỐ 2</t>
  </si>
  <si>
    <t>ANH VŨ</t>
  </si>
  <si>
    <t>NHÀ SỐ 3</t>
  </si>
  <si>
    <t>Chị Phĩ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</si>
</sst>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6"/>
      <color theme="9" tint="-0.249977111117893"/>
      <name val="Arial"/>
      <charset val="2"/>
    </font>
    <font>
      <sz val="16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0" fillId="4" borderId="0" xfId="0" applyFill="1"/>
    <xf numFmtId="0" fontId="6" fillId="4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5"/>
  <sheetViews>
    <sheetView topLeftCell="A66" workbookViewId="0">
      <selection activeCell="I73" sqref="I73"/>
    </sheetView>
  </sheetViews>
  <sheetFormatPr defaultColWidth="9" defaultRowHeight="15"/>
  <cols>
    <col min="2" max="2" width="13.7142857142857" customWidth="1"/>
    <col min="3" max="3" width="21.1428571428571" customWidth="1"/>
    <col min="4" max="5" width="23.1428571428571" customWidth="1"/>
    <col min="6" max="6" width="14.8571428571429" customWidth="1"/>
    <col min="7" max="7" width="14.2857142857143" customWidth="1"/>
    <col min="8" max="8" width="18" customWidth="1"/>
    <col min="9" max="9" width="13.4285714285714" customWidth="1"/>
    <col min="10" max="10" width="32" customWidth="1"/>
  </cols>
  <sheetData>
    <row r="1" ht="23.25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1" spans="1:15">
      <c r="A2" s="2" t="s">
        <v>1</v>
      </c>
      <c r="B2" s="2"/>
      <c r="C2" s="3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18.75" spans="1:1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</row>
    <row r="4" ht="20.25" spans="1:15">
      <c r="A4" s="4">
        <v>2023</v>
      </c>
      <c r="B4" s="5">
        <v>10</v>
      </c>
      <c r="C4" s="5">
        <v>89</v>
      </c>
      <c r="D4" s="5">
        <v>467</v>
      </c>
      <c r="E4" s="5">
        <f t="shared" ref="E4:E20" si="0">D4-C4</f>
        <v>378</v>
      </c>
      <c r="F4" s="5">
        <v>3800</v>
      </c>
      <c r="G4" s="5">
        <v>70000</v>
      </c>
      <c r="H4" s="5">
        <f t="shared" ref="H4:H6" si="1">((D4-C4)*F4)+G4</f>
        <v>1506400</v>
      </c>
      <c r="I4" s="6" t="s">
        <v>13</v>
      </c>
    </row>
    <row r="5" ht="20.25" spans="1:15">
      <c r="A5" s="4"/>
      <c r="B5" s="5">
        <v>11</v>
      </c>
      <c r="C5" s="5">
        <v>467</v>
      </c>
      <c r="D5" s="5">
        <v>907</v>
      </c>
      <c r="E5" s="5">
        <f t="shared" si="0"/>
        <v>440</v>
      </c>
      <c r="F5" s="5">
        <v>3800</v>
      </c>
      <c r="G5" s="5">
        <v>70000</v>
      </c>
      <c r="H5" s="5">
        <f t="shared" si="1"/>
        <v>1742000</v>
      </c>
      <c r="I5" s="6" t="s">
        <v>13</v>
      </c>
    </row>
    <row r="6" ht="20.25" spans="1:15">
      <c r="A6" s="4"/>
      <c r="B6" s="5">
        <v>12</v>
      </c>
      <c r="C6" s="5">
        <v>907</v>
      </c>
      <c r="D6" s="5">
        <v>1129</v>
      </c>
      <c r="E6" s="5">
        <f t="shared" si="0"/>
        <v>222</v>
      </c>
      <c r="F6" s="5">
        <v>3800</v>
      </c>
      <c r="G6" s="5">
        <v>60000</v>
      </c>
      <c r="H6" s="5">
        <f t="shared" si="1"/>
        <v>903600</v>
      </c>
      <c r="I6" s="6" t="s">
        <v>13</v>
      </c>
    </row>
    <row r="7" spans="1:15">
      <c r="A7" s="4"/>
    </row>
    <row r="8" spans="1:15">
      <c r="A8" s="4">
        <v>2024</v>
      </c>
    </row>
    <row r="9" ht="20.25" spans="1:15">
      <c r="A9" s="4"/>
      <c r="B9" s="5">
        <v>1</v>
      </c>
      <c r="C9" s="5">
        <v>90</v>
      </c>
      <c r="D9" s="5">
        <v>269</v>
      </c>
      <c r="E9" s="5">
        <f t="shared" si="0"/>
        <v>179</v>
      </c>
      <c r="F9" s="5">
        <v>3800</v>
      </c>
      <c r="G9" s="5">
        <v>60000</v>
      </c>
      <c r="H9" s="5">
        <f t="shared" ref="H9:H20" si="2">((D9-C9)*F9)+G9</f>
        <v>740200</v>
      </c>
      <c r="I9" s="6" t="s">
        <v>13</v>
      </c>
    </row>
    <row r="10" ht="20.25" spans="1:15">
      <c r="A10" s="4"/>
      <c r="B10" s="5">
        <v>2</v>
      </c>
      <c r="C10" s="5">
        <v>269</v>
      </c>
      <c r="D10" s="5">
        <v>472</v>
      </c>
      <c r="E10" s="5">
        <f t="shared" si="0"/>
        <v>203</v>
      </c>
      <c r="F10" s="5">
        <v>3800</v>
      </c>
      <c r="G10" s="5">
        <v>60000</v>
      </c>
      <c r="H10" s="5">
        <f t="shared" si="2"/>
        <v>831400</v>
      </c>
      <c r="I10" s="6" t="s">
        <v>13</v>
      </c>
    </row>
    <row r="11" ht="20.25" spans="1:15">
      <c r="A11" s="4"/>
      <c r="B11" s="5">
        <v>3</v>
      </c>
      <c r="C11" s="5">
        <v>472</v>
      </c>
      <c r="D11" s="5">
        <v>709</v>
      </c>
      <c r="E11" s="5">
        <f t="shared" si="0"/>
        <v>237</v>
      </c>
      <c r="F11" s="5">
        <v>3800</v>
      </c>
      <c r="G11" s="5">
        <v>0</v>
      </c>
      <c r="H11" s="5">
        <f t="shared" si="2"/>
        <v>900600</v>
      </c>
      <c r="I11" s="6" t="s">
        <v>13</v>
      </c>
    </row>
    <row r="12" ht="20.25" spans="1:15">
      <c r="A12" s="4"/>
      <c r="B12" s="5">
        <v>4</v>
      </c>
      <c r="C12" s="5">
        <v>709</v>
      </c>
      <c r="D12" s="5">
        <v>971</v>
      </c>
      <c r="E12" s="5">
        <f t="shared" si="0"/>
        <v>262</v>
      </c>
      <c r="F12" s="5">
        <v>3800</v>
      </c>
      <c r="G12" s="5">
        <v>0</v>
      </c>
      <c r="H12" s="5">
        <f t="shared" si="2"/>
        <v>995600</v>
      </c>
      <c r="I12" s="6" t="s">
        <v>13</v>
      </c>
    </row>
    <row r="13" ht="20.25" spans="1:15">
      <c r="A13" s="4"/>
      <c r="B13" s="5">
        <v>5</v>
      </c>
      <c r="C13" s="5">
        <v>971</v>
      </c>
      <c r="D13" s="5">
        <v>1208</v>
      </c>
      <c r="E13" s="5">
        <f t="shared" si="0"/>
        <v>237</v>
      </c>
      <c r="F13" s="5">
        <v>3800</v>
      </c>
      <c r="G13" s="5">
        <v>0</v>
      </c>
      <c r="H13" s="5">
        <f t="shared" si="2"/>
        <v>900600</v>
      </c>
      <c r="I13" s="6" t="s">
        <v>13</v>
      </c>
    </row>
    <row r="14" ht="20.25" spans="1:15">
      <c r="A14" s="4"/>
      <c r="B14" s="5">
        <v>6</v>
      </c>
      <c r="C14" s="5">
        <v>1208</v>
      </c>
      <c r="D14" s="5">
        <v>1386</v>
      </c>
      <c r="E14" s="5">
        <f t="shared" si="0"/>
        <v>178</v>
      </c>
      <c r="F14" s="5">
        <v>3800</v>
      </c>
      <c r="G14" s="5">
        <v>0</v>
      </c>
      <c r="H14" s="5">
        <f t="shared" si="2"/>
        <v>676400</v>
      </c>
      <c r="I14" s="6" t="s">
        <v>13</v>
      </c>
    </row>
    <row r="15" ht="20.25" spans="1:15">
      <c r="A15" s="4"/>
      <c r="B15" s="5">
        <v>7</v>
      </c>
      <c r="C15" s="5">
        <v>1386</v>
      </c>
      <c r="D15" s="5">
        <v>1549</v>
      </c>
      <c r="E15" s="5">
        <f t="shared" si="0"/>
        <v>163</v>
      </c>
      <c r="F15" s="5">
        <v>3800</v>
      </c>
      <c r="G15" s="5">
        <v>0</v>
      </c>
      <c r="H15" s="5">
        <f t="shared" si="2"/>
        <v>619400</v>
      </c>
      <c r="I15" s="6" t="s">
        <v>13</v>
      </c>
    </row>
    <row r="16" ht="20.25" spans="1:15">
      <c r="A16" s="4"/>
      <c r="B16" s="5">
        <v>8</v>
      </c>
      <c r="C16" s="5">
        <v>1549</v>
      </c>
      <c r="D16" s="5">
        <v>1752</v>
      </c>
      <c r="E16" s="5">
        <f t="shared" si="0"/>
        <v>203</v>
      </c>
      <c r="F16" s="5">
        <v>3800</v>
      </c>
      <c r="G16" s="5">
        <v>0</v>
      </c>
      <c r="H16" s="5">
        <f t="shared" si="2"/>
        <v>771400</v>
      </c>
      <c r="I16" s="6" t="s">
        <v>13</v>
      </c>
    </row>
    <row r="17" ht="20.25" spans="1:10">
      <c r="A17" s="4"/>
      <c r="B17" s="5">
        <v>9</v>
      </c>
      <c r="C17" s="5">
        <v>1752</v>
      </c>
      <c r="D17" s="5">
        <v>1917</v>
      </c>
      <c r="E17" s="5">
        <f t="shared" si="0"/>
        <v>165</v>
      </c>
      <c r="F17" s="5">
        <v>3800</v>
      </c>
      <c r="G17" s="5">
        <v>0</v>
      </c>
      <c r="H17" s="5">
        <f t="shared" si="2"/>
        <v>627000</v>
      </c>
      <c r="I17" s="6" t="s">
        <v>13</v>
      </c>
    </row>
    <row r="18" ht="20.25" spans="1:10">
      <c r="A18" s="4"/>
      <c r="B18" s="5">
        <v>10</v>
      </c>
      <c r="C18" s="5">
        <v>1917</v>
      </c>
      <c r="D18" s="5">
        <v>2087</v>
      </c>
      <c r="E18" s="5">
        <f t="shared" si="0"/>
        <v>170</v>
      </c>
      <c r="F18" s="5">
        <v>3800</v>
      </c>
      <c r="G18" s="5">
        <v>0</v>
      </c>
      <c r="H18" s="5">
        <f t="shared" si="2"/>
        <v>646000</v>
      </c>
      <c r="I18" s="6" t="s">
        <v>13</v>
      </c>
    </row>
    <row r="19" ht="20.25" spans="1:10">
      <c r="B19" s="5">
        <v>11</v>
      </c>
      <c r="C19" s="5">
        <v>2087</v>
      </c>
      <c r="D19" s="5">
        <v>2307</v>
      </c>
      <c r="E19" s="5">
        <f t="shared" si="0"/>
        <v>220</v>
      </c>
      <c r="F19" s="5">
        <v>3800</v>
      </c>
      <c r="G19" s="5">
        <v>0</v>
      </c>
      <c r="H19" s="5">
        <f t="shared" si="2"/>
        <v>836000</v>
      </c>
      <c r="I19" s="6" t="s">
        <v>13</v>
      </c>
    </row>
    <row r="20" customFormat="1" ht="20.25" spans="1:10">
      <c r="B20" s="5">
        <v>12</v>
      </c>
      <c r="C20" s="5">
        <v>2307</v>
      </c>
      <c r="D20" s="5">
        <v>2451</v>
      </c>
      <c r="E20" s="5">
        <f t="shared" si="0"/>
        <v>144</v>
      </c>
      <c r="F20" s="5">
        <v>3800</v>
      </c>
      <c r="G20" s="5">
        <v>0</v>
      </c>
      <c r="H20" s="5">
        <f t="shared" si="2"/>
        <v>547200</v>
      </c>
      <c r="I20" s="6" t="s">
        <v>13</v>
      </c>
    </row>
    <row r="21" s="7" customFormat="1" ht="21" spans="1:10">
      <c r="A21" s="7" t="s">
        <v>14</v>
      </c>
    </row>
    <row r="22" ht="18.75" spans="1:10">
      <c r="A22" s="4" t="s">
        <v>3</v>
      </c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4" t="s">
        <v>9</v>
      </c>
      <c r="H22" s="4" t="s">
        <v>10</v>
      </c>
      <c r="I22" s="4" t="s">
        <v>11</v>
      </c>
      <c r="J22" s="4" t="s">
        <v>12</v>
      </c>
    </row>
    <row r="23" customFormat="1" ht="20.25" spans="1:10">
      <c r="A23" s="4">
        <v>2025</v>
      </c>
      <c r="B23" s="5">
        <v>1</v>
      </c>
      <c r="C23" s="5">
        <v>2451</v>
      </c>
      <c r="D23" s="5">
        <v>2610</v>
      </c>
      <c r="E23" s="5">
        <f t="shared" ref="E23:E34" si="3">D23-C23</f>
        <v>159</v>
      </c>
      <c r="F23" s="5">
        <v>3800</v>
      </c>
      <c r="G23" s="5"/>
      <c r="H23" s="5">
        <f t="shared" ref="H23:H34" si="4">((D23-C23)*F23)+G23</f>
        <v>604200</v>
      </c>
      <c r="I23" s="6" t="s">
        <v>13</v>
      </c>
    </row>
    <row r="24" customFormat="1" ht="20.25" spans="1:10">
      <c r="A24" s="4"/>
      <c r="B24" s="5">
        <v>2</v>
      </c>
      <c r="C24" s="5">
        <v>2610</v>
      </c>
      <c r="D24" s="5">
        <v>2730</v>
      </c>
      <c r="E24" s="5">
        <f t="shared" si="3"/>
        <v>120</v>
      </c>
      <c r="F24" s="5">
        <v>3800</v>
      </c>
      <c r="G24" s="5"/>
      <c r="H24" s="5">
        <f t="shared" si="4"/>
        <v>456000</v>
      </c>
      <c r="I24" s="6" t="s">
        <v>13</v>
      </c>
    </row>
    <row r="25" customFormat="1" ht="20.25" spans="1:10">
      <c r="A25" s="4"/>
      <c r="B25" s="5">
        <v>3</v>
      </c>
      <c r="C25" s="5">
        <v>2730</v>
      </c>
      <c r="D25" s="5">
        <v>2888</v>
      </c>
      <c r="E25" s="5">
        <f t="shared" si="3"/>
        <v>158</v>
      </c>
      <c r="F25" s="5">
        <v>3800</v>
      </c>
      <c r="G25" s="5"/>
      <c r="H25" s="5">
        <f t="shared" si="4"/>
        <v>600400</v>
      </c>
      <c r="I25" s="6" t="s">
        <v>13</v>
      </c>
    </row>
    <row r="26" customFormat="1" ht="20.25" spans="1:10">
      <c r="A26" s="4"/>
      <c r="B26" s="5">
        <v>4</v>
      </c>
      <c r="C26" s="5">
        <v>2888</v>
      </c>
      <c r="D26" s="5">
        <v>3085</v>
      </c>
      <c r="E26" s="5">
        <f t="shared" si="3"/>
        <v>197</v>
      </c>
      <c r="F26" s="5">
        <v>3800</v>
      </c>
      <c r="G26" s="5"/>
      <c r="H26" s="5">
        <f t="shared" si="4"/>
        <v>748600</v>
      </c>
      <c r="I26" s="6" t="s">
        <v>13</v>
      </c>
    </row>
    <row r="27" ht="20.25" spans="1:10">
      <c r="B27" s="5">
        <v>5</v>
      </c>
      <c r="C27" s="5">
        <v>3085</v>
      </c>
      <c r="D27" s="5">
        <v>3301</v>
      </c>
      <c r="E27" s="5">
        <f t="shared" si="3"/>
        <v>216</v>
      </c>
      <c r="F27" s="5">
        <v>3800</v>
      </c>
      <c r="G27" s="5"/>
      <c r="H27" s="5">
        <f t="shared" si="4"/>
        <v>820800</v>
      </c>
      <c r="I27" s="6" t="s">
        <v>13</v>
      </c>
    </row>
    <row r="28" ht="20.25" spans="1:10">
      <c r="B28" s="5">
        <v>6</v>
      </c>
      <c r="C28" s="5">
        <v>3301</v>
      </c>
      <c r="D28" s="5">
        <v>3552</v>
      </c>
      <c r="E28" s="5">
        <f t="shared" si="3"/>
        <v>251</v>
      </c>
      <c r="F28" s="5">
        <v>3800</v>
      </c>
      <c r="G28" s="5"/>
      <c r="H28" s="5">
        <f t="shared" si="4"/>
        <v>953800</v>
      </c>
      <c r="I28" s="6" t="s">
        <v>13</v>
      </c>
    </row>
    <row r="29" ht="20.25" spans="1:10">
      <c r="B29" s="5">
        <v>7</v>
      </c>
      <c r="C29" s="5">
        <v>3552</v>
      </c>
      <c r="D29" s="5">
        <v>3755</v>
      </c>
      <c r="E29" s="5">
        <f t="shared" si="3"/>
        <v>203</v>
      </c>
      <c r="F29" s="5">
        <v>4500</v>
      </c>
      <c r="G29" s="5"/>
      <c r="H29" s="5">
        <f t="shared" si="4"/>
        <v>913500</v>
      </c>
      <c r="I29" s="6" t="s">
        <v>13</v>
      </c>
    </row>
    <row r="30" ht="20.25" spans="1:10">
      <c r="B30" s="5">
        <v>8</v>
      </c>
      <c r="C30" s="5">
        <v>3755</v>
      </c>
      <c r="D30" s="5">
        <v>3905</v>
      </c>
      <c r="E30" s="5">
        <f t="shared" si="3"/>
        <v>150</v>
      </c>
      <c r="F30" s="5">
        <v>4700</v>
      </c>
      <c r="G30" s="5"/>
      <c r="H30" s="5">
        <f t="shared" si="4"/>
        <v>705000</v>
      </c>
      <c r="I30" s="6" t="s">
        <v>13</v>
      </c>
    </row>
    <row r="31" customFormat="1" ht="20.25" spans="1:10">
      <c r="B31" s="5">
        <v>9</v>
      </c>
      <c r="C31" s="5">
        <v>3905</v>
      </c>
      <c r="D31" s="5">
        <v>4068</v>
      </c>
      <c r="E31" s="5">
        <f t="shared" si="3"/>
        <v>163</v>
      </c>
      <c r="F31" s="5">
        <v>4200</v>
      </c>
      <c r="G31" s="5"/>
      <c r="H31" s="5">
        <f t="shared" si="4"/>
        <v>684600</v>
      </c>
      <c r="I31" s="6" t="s">
        <v>13</v>
      </c>
    </row>
    <row r="32" ht="20.25" spans="1:10">
      <c r="B32" s="5">
        <v>10</v>
      </c>
      <c r="C32" s="5">
        <v>4068</v>
      </c>
      <c r="D32" s="5">
        <v>4225</v>
      </c>
      <c r="E32" s="5">
        <f t="shared" si="3"/>
        <v>157</v>
      </c>
      <c r="F32" s="5">
        <v>4200</v>
      </c>
      <c r="G32" s="5"/>
      <c r="H32" s="5">
        <f t="shared" si="4"/>
        <v>659400</v>
      </c>
      <c r="I32" s="6" t="s">
        <v>13</v>
      </c>
    </row>
    <row r="33" ht="20.25" spans="1:10">
      <c r="B33" s="5">
        <v>11</v>
      </c>
      <c r="C33" s="5">
        <v>4225</v>
      </c>
      <c r="D33" s="5">
        <v>4368</v>
      </c>
      <c r="E33" s="5">
        <f t="shared" si="3"/>
        <v>143</v>
      </c>
      <c r="F33" s="5">
        <v>4100</v>
      </c>
      <c r="G33" s="5"/>
      <c r="H33" s="5">
        <f t="shared" si="4"/>
        <v>586300</v>
      </c>
      <c r="I33" s="6" t="s">
        <v>13</v>
      </c>
    </row>
    <row r="34" ht="20.25" spans="1:10">
      <c r="B34" s="5">
        <v>12</v>
      </c>
      <c r="C34" s="5">
        <v>4368</v>
      </c>
      <c r="D34" s="5">
        <v>4549</v>
      </c>
      <c r="E34" s="5">
        <f t="shared" si="3"/>
        <v>181</v>
      </c>
      <c r="F34" s="5">
        <v>3500</v>
      </c>
      <c r="G34" s="5"/>
      <c r="H34" s="5">
        <f t="shared" si="4"/>
        <v>633500</v>
      </c>
      <c r="I34" s="6" t="s">
        <v>13</v>
      </c>
    </row>
    <row r="36" s="7" customFormat="1" ht="21" spans="1:10">
      <c r="A36" s="7" t="s">
        <v>14</v>
      </c>
    </row>
    <row r="37" ht="18.75" spans="1:10">
      <c r="A37" s="4" t="s">
        <v>3</v>
      </c>
      <c r="B37" s="4" t="s">
        <v>4</v>
      </c>
      <c r="C37" s="4" t="s">
        <v>5</v>
      </c>
      <c r="D37" s="4" t="s">
        <v>6</v>
      </c>
      <c r="E37" s="4" t="s">
        <v>7</v>
      </c>
      <c r="F37" s="4" t="s">
        <v>8</v>
      </c>
      <c r="G37" s="4" t="s">
        <v>9</v>
      </c>
      <c r="H37" s="4" t="s">
        <v>10</v>
      </c>
      <c r="I37" s="4" t="s">
        <v>11</v>
      </c>
      <c r="J37" s="4" t="s">
        <v>12</v>
      </c>
    </row>
    <row r="38" customFormat="1" ht="20.25" spans="1:10">
      <c r="A38" s="4">
        <v>2026</v>
      </c>
      <c r="B38" s="5">
        <v>1</v>
      </c>
      <c r="C38" s="5">
        <v>4549</v>
      </c>
      <c r="D38" s="5">
        <v>4683</v>
      </c>
      <c r="E38" s="5">
        <f>D38-C38</f>
        <v>134</v>
      </c>
      <c r="F38" s="5">
        <v>3800</v>
      </c>
      <c r="G38" s="5"/>
      <c r="H38" s="5">
        <f>((D38-C38)*F38)+G38</f>
        <v>509200</v>
      </c>
      <c r="I38" s="6" t="s">
        <v>13</v>
      </c>
    </row>
    <row r="39" customFormat="1" ht="20.25" spans="1:10">
      <c r="A39" s="4"/>
      <c r="B39" s="5"/>
      <c r="C39" s="5"/>
      <c r="D39" s="5"/>
      <c r="E39" s="5"/>
      <c r="F39" s="5"/>
      <c r="G39" s="5"/>
      <c r="H39" s="5"/>
      <c r="I39" s="6"/>
    </row>
    <row r="40" customFormat="1" ht="20.25" spans="1:10">
      <c r="A40" s="4"/>
      <c r="B40" s="5"/>
      <c r="C40" s="5"/>
      <c r="D40" s="5"/>
      <c r="E40" s="5"/>
      <c r="F40" s="5"/>
      <c r="G40" s="5"/>
      <c r="H40" s="5"/>
      <c r="I40" s="6"/>
    </row>
    <row r="41" customFormat="1" ht="20.25" spans="1:10">
      <c r="A41" s="4"/>
      <c r="B41" s="5"/>
      <c r="C41" s="5"/>
      <c r="D41" s="5"/>
      <c r="E41" s="5"/>
      <c r="F41" s="5"/>
      <c r="G41" s="5"/>
      <c r="H41" s="5"/>
      <c r="I41" s="6"/>
    </row>
    <row r="42" ht="18.75" spans="1:10">
      <c r="A42" s="4"/>
    </row>
    <row r="43" ht="18.75" spans="1:10">
      <c r="A43" s="4"/>
    </row>
    <row r="44" ht="18.75" spans="1:10">
      <c r="A44" s="4"/>
    </row>
    <row r="45" ht="18.75" spans="1:10">
      <c r="A45" s="4"/>
    </row>
    <row r="51" ht="21" spans="1:15"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ht="21" spans="1:15">
      <c r="B52" s="2"/>
      <c r="C52" s="3" t="s">
        <v>15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ht="18.75" spans="1:15"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ht="20.25" spans="1:15">
      <c r="B54" s="5">
        <v>10</v>
      </c>
      <c r="C54" s="5">
        <v>157</v>
      </c>
      <c r="D54" s="5">
        <v>237</v>
      </c>
      <c r="E54" s="5">
        <f t="shared" ref="E54:E67" si="5">D54-C54</f>
        <v>80</v>
      </c>
      <c r="F54" s="5">
        <v>3800</v>
      </c>
      <c r="G54" s="5">
        <v>60000</v>
      </c>
      <c r="H54" s="5">
        <f t="shared" ref="H54:H67" si="6">((D54-C54)*F54)+G54</f>
        <v>364000</v>
      </c>
      <c r="I54" s="6" t="s">
        <v>13</v>
      </c>
    </row>
    <row r="55" ht="21" spans="1:15">
      <c r="A55" s="2"/>
      <c r="B55" s="5">
        <v>11</v>
      </c>
      <c r="C55" s="5">
        <v>237</v>
      </c>
      <c r="D55" s="5">
        <v>323</v>
      </c>
      <c r="E55" s="5">
        <f t="shared" si="5"/>
        <v>86</v>
      </c>
      <c r="F55" s="5">
        <v>3800</v>
      </c>
      <c r="G55" s="5">
        <v>60000</v>
      </c>
      <c r="H55" s="5">
        <f t="shared" si="6"/>
        <v>386800</v>
      </c>
      <c r="I55" s="6" t="s">
        <v>13</v>
      </c>
    </row>
    <row r="56" ht="21" spans="1:15">
      <c r="A56" s="2" t="s">
        <v>16</v>
      </c>
    </row>
    <row r="57" ht="18.75" spans="1:15">
      <c r="A57" s="4" t="s">
        <v>3</v>
      </c>
    </row>
    <row r="58" spans="1:15">
      <c r="A58" s="4">
        <v>2023</v>
      </c>
    </row>
    <row r="59" ht="20.25" spans="1:15">
      <c r="A59" s="4"/>
      <c r="B59" s="5">
        <v>4</v>
      </c>
      <c r="C59" s="5">
        <v>345</v>
      </c>
      <c r="D59" s="5">
        <v>469</v>
      </c>
      <c r="E59" s="5">
        <f t="shared" si="5"/>
        <v>124</v>
      </c>
      <c r="F59" s="5">
        <v>3800</v>
      </c>
      <c r="G59" s="5">
        <v>0</v>
      </c>
      <c r="H59" s="5">
        <f t="shared" si="6"/>
        <v>471200</v>
      </c>
      <c r="I59" s="6" t="s">
        <v>13</v>
      </c>
    </row>
    <row r="60" ht="20.25" spans="1:15">
      <c r="A60" s="4"/>
      <c r="B60" s="5">
        <v>5</v>
      </c>
      <c r="C60" s="5">
        <v>469</v>
      </c>
      <c r="D60" s="5">
        <v>679</v>
      </c>
      <c r="E60" s="5">
        <f t="shared" si="5"/>
        <v>210</v>
      </c>
      <c r="F60" s="5">
        <v>3800</v>
      </c>
      <c r="G60" s="5">
        <v>0</v>
      </c>
      <c r="H60" s="5">
        <f t="shared" si="6"/>
        <v>798000</v>
      </c>
      <c r="I60" s="6" t="s">
        <v>13</v>
      </c>
    </row>
    <row r="61" ht="20.25" spans="1:15">
      <c r="A61" s="4"/>
      <c r="B61" s="5">
        <v>6</v>
      </c>
      <c r="C61" s="5">
        <v>679</v>
      </c>
      <c r="D61" s="5">
        <v>892</v>
      </c>
      <c r="E61" s="5">
        <f t="shared" si="5"/>
        <v>213</v>
      </c>
      <c r="F61" s="5">
        <v>3800</v>
      </c>
      <c r="G61" s="5">
        <v>0</v>
      </c>
      <c r="H61" s="5">
        <f t="shared" si="6"/>
        <v>809400</v>
      </c>
      <c r="I61" s="6" t="s">
        <v>13</v>
      </c>
    </row>
    <row r="62" ht="20.25" spans="1:15">
      <c r="A62" s="4">
        <v>2024</v>
      </c>
      <c r="B62" s="5">
        <v>7</v>
      </c>
      <c r="C62" s="5">
        <v>892</v>
      </c>
      <c r="D62" s="5">
        <v>1041</v>
      </c>
      <c r="E62" s="5">
        <f t="shared" si="5"/>
        <v>149</v>
      </c>
      <c r="F62" s="5">
        <v>3800</v>
      </c>
      <c r="G62" s="5">
        <v>0</v>
      </c>
      <c r="H62" s="5">
        <f t="shared" si="6"/>
        <v>566200</v>
      </c>
      <c r="I62" s="6" t="s">
        <v>13</v>
      </c>
    </row>
    <row r="63" ht="20.25" spans="1:15">
      <c r="A63" s="4"/>
      <c r="B63" s="5">
        <v>8</v>
      </c>
      <c r="C63" s="5">
        <v>1041</v>
      </c>
      <c r="D63" s="5">
        <v>1205</v>
      </c>
      <c r="E63" s="5">
        <f t="shared" si="5"/>
        <v>164</v>
      </c>
      <c r="F63" s="5">
        <v>3800</v>
      </c>
      <c r="G63" s="5">
        <v>0</v>
      </c>
      <c r="H63" s="5">
        <f t="shared" si="6"/>
        <v>623200</v>
      </c>
      <c r="I63" s="6" t="s">
        <v>13</v>
      </c>
    </row>
    <row r="64" ht="20.25" spans="1:15">
      <c r="A64" s="4"/>
      <c r="B64" s="5">
        <v>9</v>
      </c>
      <c r="C64" s="5">
        <v>1205</v>
      </c>
      <c r="D64" s="5">
        <v>1331</v>
      </c>
      <c r="E64" s="5">
        <f t="shared" si="5"/>
        <v>126</v>
      </c>
      <c r="F64" s="5">
        <v>3800</v>
      </c>
      <c r="G64" s="5">
        <v>0</v>
      </c>
      <c r="H64" s="5">
        <f t="shared" si="6"/>
        <v>478800</v>
      </c>
      <c r="I64" s="6" t="s">
        <v>13</v>
      </c>
    </row>
    <row r="65" customFormat="1" ht="20.25" spans="1:10">
      <c r="A65" s="4"/>
      <c r="B65" s="5">
        <v>10</v>
      </c>
      <c r="C65" s="5">
        <v>1331</v>
      </c>
      <c r="D65" s="5">
        <v>1491</v>
      </c>
      <c r="E65" s="5">
        <f t="shared" si="5"/>
        <v>160</v>
      </c>
      <c r="F65" s="5">
        <v>3800</v>
      </c>
      <c r="G65" s="5">
        <v>0</v>
      </c>
      <c r="H65" s="5">
        <f t="shared" si="6"/>
        <v>608000</v>
      </c>
      <c r="I65" s="6" t="s">
        <v>13</v>
      </c>
    </row>
    <row r="66" ht="20.25" spans="1:10">
      <c r="B66" s="5">
        <v>11</v>
      </c>
      <c r="C66" s="5">
        <v>1491</v>
      </c>
      <c r="D66" s="5">
        <v>1647</v>
      </c>
      <c r="E66" s="5">
        <f t="shared" si="5"/>
        <v>156</v>
      </c>
      <c r="F66" s="5">
        <v>3800</v>
      </c>
      <c r="G66" s="5">
        <v>0</v>
      </c>
      <c r="H66" s="5">
        <f t="shared" si="6"/>
        <v>592800</v>
      </c>
      <c r="I66" s="6" t="s">
        <v>13</v>
      </c>
    </row>
    <row r="67" customFormat="1" ht="20.25" spans="1:10">
      <c r="B67" s="5">
        <v>12</v>
      </c>
      <c r="C67" s="5">
        <v>1647</v>
      </c>
      <c r="D67" s="5">
        <v>1767</v>
      </c>
      <c r="E67" s="5">
        <f t="shared" si="5"/>
        <v>120</v>
      </c>
      <c r="F67" s="5">
        <v>3800</v>
      </c>
      <c r="G67" s="5">
        <v>0</v>
      </c>
      <c r="H67" s="5">
        <f t="shared" si="6"/>
        <v>456000</v>
      </c>
      <c r="I67" s="6" t="s">
        <v>13</v>
      </c>
    </row>
    <row r="68" s="8" customFormat="1" ht="21" spans="1:10">
      <c r="A68"/>
      <c r="E68" s="9" t="s">
        <v>15</v>
      </c>
    </row>
    <row r="69" ht="18.75" spans="1:10">
      <c r="B69" s="4" t="s">
        <v>4</v>
      </c>
      <c r="C69" s="4" t="s">
        <v>5</v>
      </c>
      <c r="D69" s="4" t="s">
        <v>6</v>
      </c>
      <c r="E69" s="4" t="s">
        <v>7</v>
      </c>
      <c r="F69" s="4" t="s">
        <v>8</v>
      </c>
      <c r="G69" s="4" t="s">
        <v>9</v>
      </c>
      <c r="H69" s="4" t="s">
        <v>10</v>
      </c>
      <c r="I69" s="4" t="s">
        <v>11</v>
      </c>
      <c r="J69" s="4" t="s">
        <v>12</v>
      </c>
    </row>
    <row r="70" customFormat="1" ht="20.25" spans="1:10">
      <c r="B70" s="5">
        <v>1</v>
      </c>
      <c r="C70" s="5">
        <v>1767</v>
      </c>
      <c r="D70" s="5">
        <v>1912</v>
      </c>
      <c r="E70" s="5">
        <f t="shared" ref="E70:E81" si="7">D70-C70</f>
        <v>145</v>
      </c>
      <c r="F70" s="5">
        <v>3800</v>
      </c>
      <c r="G70" s="5"/>
      <c r="H70" s="5">
        <f t="shared" ref="H70:H81" si="8">((D70-C70)*F70)+G70</f>
        <v>551000</v>
      </c>
      <c r="I70" s="6" t="s">
        <v>13</v>
      </c>
    </row>
    <row r="71" customFormat="1" ht="20.25" spans="1:10">
      <c r="B71" s="5">
        <v>2</v>
      </c>
      <c r="C71" s="5">
        <v>1912</v>
      </c>
      <c r="D71" s="5">
        <v>1997</v>
      </c>
      <c r="E71" s="5">
        <f t="shared" si="7"/>
        <v>85</v>
      </c>
      <c r="F71" s="5">
        <v>3800</v>
      </c>
      <c r="G71" s="5"/>
      <c r="H71" s="5">
        <f t="shared" si="8"/>
        <v>323000</v>
      </c>
      <c r="I71" s="6" t="s">
        <v>13</v>
      </c>
    </row>
    <row r="72" customFormat="1" ht="20.25" spans="1:10">
      <c r="A72" s="8"/>
      <c r="B72" s="5">
        <v>3</v>
      </c>
      <c r="C72" s="5">
        <v>1997</v>
      </c>
      <c r="D72" s="5">
        <v>2160</v>
      </c>
      <c r="E72" s="5">
        <f t="shared" si="7"/>
        <v>163</v>
      </c>
      <c r="F72" s="5">
        <v>3800</v>
      </c>
      <c r="G72" s="5"/>
      <c r="H72" s="5">
        <f t="shared" si="8"/>
        <v>619400</v>
      </c>
      <c r="I72" s="6" t="s">
        <v>13</v>
      </c>
    </row>
    <row r="73" customFormat="1" ht="20.25" spans="1:10">
      <c r="A73" s="4" t="s">
        <v>3</v>
      </c>
      <c r="B73" s="5">
        <v>4</v>
      </c>
      <c r="C73" s="5">
        <v>2160</v>
      </c>
      <c r="D73" s="5">
        <v>2331</v>
      </c>
      <c r="E73" s="5">
        <f t="shared" si="7"/>
        <v>171</v>
      </c>
      <c r="F73" s="5">
        <v>3800</v>
      </c>
      <c r="G73" s="5"/>
      <c r="H73" s="5">
        <f t="shared" si="8"/>
        <v>649800</v>
      </c>
      <c r="I73" s="6" t="s">
        <v>13</v>
      </c>
    </row>
    <row r="74" ht="20.25" spans="1:10">
      <c r="A74" s="4">
        <v>2025</v>
      </c>
      <c r="B74" s="5">
        <v>5</v>
      </c>
      <c r="C74" s="5">
        <v>2331</v>
      </c>
      <c r="D74" s="5">
        <v>2546</v>
      </c>
      <c r="E74" s="5">
        <f t="shared" si="7"/>
        <v>215</v>
      </c>
      <c r="F74" s="5">
        <v>3800</v>
      </c>
      <c r="G74" s="5"/>
      <c r="H74" s="5">
        <f t="shared" si="8"/>
        <v>817000</v>
      </c>
      <c r="I74" s="6" t="s">
        <v>13</v>
      </c>
    </row>
    <row r="75" ht="20.25" spans="1:10">
      <c r="A75" s="4"/>
      <c r="B75" s="5">
        <v>6</v>
      </c>
      <c r="C75" s="5">
        <v>2546</v>
      </c>
      <c r="D75" s="5">
        <v>2759</v>
      </c>
      <c r="E75" s="5">
        <f t="shared" si="7"/>
        <v>213</v>
      </c>
      <c r="F75" s="5">
        <v>3800</v>
      </c>
      <c r="G75" s="5"/>
      <c r="H75" s="5">
        <f t="shared" si="8"/>
        <v>809400</v>
      </c>
      <c r="I75" s="6" t="s">
        <v>13</v>
      </c>
    </row>
    <row r="76" ht="20.25" spans="1:10">
      <c r="A76" s="4"/>
      <c r="B76" s="5">
        <v>7</v>
      </c>
      <c r="C76" s="5">
        <v>2759</v>
      </c>
      <c r="D76" s="5">
        <v>2906</v>
      </c>
      <c r="E76" s="5">
        <f t="shared" si="7"/>
        <v>147</v>
      </c>
      <c r="F76" s="5">
        <v>4500</v>
      </c>
      <c r="G76" s="5"/>
      <c r="H76" s="5">
        <f t="shared" si="8"/>
        <v>661500</v>
      </c>
      <c r="I76" s="6" t="s">
        <v>13</v>
      </c>
    </row>
    <row r="77" ht="20.25" spans="1:10">
      <c r="A77" s="4"/>
      <c r="B77" s="5">
        <v>8</v>
      </c>
      <c r="C77" s="5">
        <v>2906</v>
      </c>
      <c r="D77" s="5">
        <v>3068</v>
      </c>
      <c r="E77" s="5">
        <f t="shared" si="7"/>
        <v>162</v>
      </c>
      <c r="F77" s="5">
        <v>4700</v>
      </c>
      <c r="G77" s="5"/>
      <c r="H77" s="5">
        <f t="shared" si="8"/>
        <v>761400</v>
      </c>
      <c r="I77" s="6" t="s">
        <v>13</v>
      </c>
    </row>
    <row r="78" customFormat="1" ht="20.25" spans="1:10">
      <c r="B78" s="5">
        <v>9</v>
      </c>
      <c r="C78" s="5">
        <v>3068</v>
      </c>
      <c r="D78" s="5">
        <v>3207</v>
      </c>
      <c r="E78" s="5">
        <f t="shared" si="7"/>
        <v>139</v>
      </c>
      <c r="F78" s="5">
        <v>4200</v>
      </c>
      <c r="G78" s="5"/>
      <c r="H78" s="5">
        <f t="shared" si="8"/>
        <v>583800</v>
      </c>
      <c r="I78" s="6" t="s">
        <v>13</v>
      </c>
    </row>
    <row r="79" ht="20.25" spans="1:10">
      <c r="B79" s="5">
        <v>10</v>
      </c>
      <c r="C79" s="5">
        <v>3207</v>
      </c>
      <c r="D79" s="5">
        <v>3360</v>
      </c>
      <c r="E79" s="5">
        <f t="shared" si="7"/>
        <v>153</v>
      </c>
      <c r="F79" s="5">
        <v>4200</v>
      </c>
      <c r="G79" s="5"/>
      <c r="H79" s="5">
        <f t="shared" si="8"/>
        <v>642600</v>
      </c>
      <c r="I79" s="6" t="s">
        <v>13</v>
      </c>
    </row>
    <row r="80" ht="20.25" spans="1:10">
      <c r="B80" s="5">
        <v>11</v>
      </c>
      <c r="C80" s="5">
        <v>3360</v>
      </c>
      <c r="D80" s="5">
        <v>3520</v>
      </c>
      <c r="E80" s="5">
        <f t="shared" si="7"/>
        <v>160</v>
      </c>
      <c r="F80" s="5">
        <v>4100</v>
      </c>
      <c r="G80" s="5"/>
      <c r="H80" s="5">
        <f t="shared" si="8"/>
        <v>656000</v>
      </c>
      <c r="I80" s="6" t="s">
        <v>13</v>
      </c>
    </row>
    <row r="81" ht="18.75" spans="1:15">
      <c r="B81" s="5">
        <v>12</v>
      </c>
      <c r="C81" s="5">
        <v>3520</v>
      </c>
      <c r="D81" s="5">
        <v>3705</v>
      </c>
      <c r="E81" s="5">
        <f t="shared" si="7"/>
        <v>185</v>
      </c>
      <c r="F81" s="5">
        <v>3500</v>
      </c>
      <c r="G81" s="5"/>
      <c r="H81" s="5">
        <f t="shared" si="8"/>
        <v>647500</v>
      </c>
    </row>
    <row r="82" ht="18.75" spans="1:15">
      <c r="B82" s="5"/>
      <c r="C82" s="5"/>
      <c r="D82" s="5"/>
      <c r="E82" s="5"/>
      <c r="F82" s="5"/>
      <c r="G82" s="5"/>
      <c r="H82" s="5"/>
    </row>
    <row r="84" ht="21" spans="1:15">
      <c r="B84" s="2"/>
      <c r="C84" s="3" t="s">
        <v>17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ht="18.75" spans="1:15">
      <c r="B85" s="4" t="s">
        <v>4</v>
      </c>
      <c r="C85" s="4" t="s">
        <v>5</v>
      </c>
      <c r="D85" s="4" t="s">
        <v>6</v>
      </c>
      <c r="E85" s="4" t="s">
        <v>7</v>
      </c>
      <c r="F85" s="4" t="s">
        <v>8</v>
      </c>
      <c r="G85" s="4" t="s">
        <v>9</v>
      </c>
      <c r="H85" s="4" t="s">
        <v>10</v>
      </c>
      <c r="I85" s="4" t="s">
        <v>11</v>
      </c>
      <c r="J85" s="4" t="s">
        <v>12</v>
      </c>
    </row>
    <row r="86" ht="20.25" spans="1:15">
      <c r="B86" s="5">
        <v>10</v>
      </c>
      <c r="C86" s="5">
        <v>371</v>
      </c>
      <c r="D86" s="5">
        <v>464</v>
      </c>
      <c r="E86" s="5">
        <f t="shared" ref="E86:E101" si="9">D86-C86</f>
        <v>93</v>
      </c>
      <c r="F86" s="5">
        <v>3800</v>
      </c>
      <c r="G86" s="5">
        <v>60000</v>
      </c>
      <c r="H86" s="5">
        <f t="shared" ref="H86:H88" si="10">((D86-C86)*F86)+G86</f>
        <v>413400</v>
      </c>
      <c r="I86" s="6" t="s">
        <v>13</v>
      </c>
    </row>
    <row r="87" ht="20.25" spans="1:15">
      <c r="B87" s="5">
        <v>11</v>
      </c>
      <c r="C87" s="5">
        <v>464</v>
      </c>
      <c r="D87" s="5">
        <v>627</v>
      </c>
      <c r="E87" s="5">
        <f t="shared" si="9"/>
        <v>163</v>
      </c>
      <c r="F87" s="5">
        <v>3800</v>
      </c>
      <c r="G87" s="5">
        <v>60000</v>
      </c>
      <c r="H87" s="5">
        <f t="shared" si="10"/>
        <v>679400</v>
      </c>
      <c r="I87" s="6" t="s">
        <v>13</v>
      </c>
    </row>
    <row r="88" ht="21" spans="1:15">
      <c r="A88" s="2" t="s">
        <v>18</v>
      </c>
      <c r="B88" s="5">
        <v>12</v>
      </c>
      <c r="C88" s="5">
        <v>627</v>
      </c>
      <c r="D88" s="5">
        <v>774</v>
      </c>
      <c r="E88" s="5">
        <f t="shared" si="9"/>
        <v>147</v>
      </c>
      <c r="F88" s="5">
        <v>3800</v>
      </c>
      <c r="G88" s="5">
        <v>60000</v>
      </c>
      <c r="H88" s="5">
        <f t="shared" si="10"/>
        <v>618600</v>
      </c>
      <c r="I88" s="6" t="s">
        <v>13</v>
      </c>
    </row>
    <row r="89" ht="18.75" spans="1:15">
      <c r="A89" s="4" t="s">
        <v>3</v>
      </c>
    </row>
    <row r="90" ht="20.25" spans="1:15">
      <c r="A90" s="4">
        <v>2023</v>
      </c>
      <c r="B90" s="5">
        <v>1</v>
      </c>
      <c r="C90" s="5">
        <v>774</v>
      </c>
      <c r="D90" s="5">
        <v>927</v>
      </c>
      <c r="E90" s="5">
        <f t="shared" si="9"/>
        <v>153</v>
      </c>
      <c r="F90" s="5">
        <v>3800</v>
      </c>
      <c r="G90" s="5">
        <v>60000</v>
      </c>
      <c r="H90" s="5">
        <f t="shared" ref="H90:H101" si="11">((D90-C90)*F90)+G90</f>
        <v>641400</v>
      </c>
      <c r="I90" s="6" t="s">
        <v>13</v>
      </c>
    </row>
    <row r="91" ht="20.25" spans="1:15">
      <c r="A91" s="4"/>
      <c r="B91" s="5">
        <v>2</v>
      </c>
      <c r="C91" s="5">
        <v>927</v>
      </c>
      <c r="D91" s="5">
        <v>1110</v>
      </c>
      <c r="E91" s="5">
        <f t="shared" si="9"/>
        <v>183</v>
      </c>
      <c r="F91" s="5">
        <v>3800</v>
      </c>
      <c r="G91" s="5">
        <v>60000</v>
      </c>
      <c r="H91" s="5">
        <f t="shared" si="11"/>
        <v>755400</v>
      </c>
      <c r="I91" s="6" t="s">
        <v>13</v>
      </c>
    </row>
    <row r="92" ht="20.25" spans="1:15">
      <c r="A92" s="4"/>
      <c r="B92" s="5">
        <v>3</v>
      </c>
      <c r="C92" s="5">
        <v>1110</v>
      </c>
      <c r="D92" s="5">
        <v>1267</v>
      </c>
      <c r="E92" s="5">
        <f t="shared" si="9"/>
        <v>157</v>
      </c>
      <c r="F92" s="5">
        <v>3800</v>
      </c>
      <c r="G92" s="5">
        <v>0</v>
      </c>
      <c r="H92" s="5">
        <f t="shared" si="11"/>
        <v>596600</v>
      </c>
      <c r="I92" s="6" t="s">
        <v>13</v>
      </c>
    </row>
    <row r="93" ht="20.25" spans="1:15">
      <c r="A93" s="4"/>
      <c r="B93" s="5">
        <v>4</v>
      </c>
      <c r="C93" s="5">
        <v>1267</v>
      </c>
      <c r="D93" s="5">
        <v>1436</v>
      </c>
      <c r="E93" s="5">
        <f t="shared" si="9"/>
        <v>169</v>
      </c>
      <c r="F93" s="5">
        <v>3800</v>
      </c>
      <c r="G93" s="5">
        <v>0</v>
      </c>
      <c r="H93" s="5">
        <f t="shared" si="11"/>
        <v>642200</v>
      </c>
      <c r="I93" s="6" t="s">
        <v>13</v>
      </c>
    </row>
    <row r="94" ht="20.25" spans="1:15">
      <c r="A94" s="4">
        <v>2024</v>
      </c>
      <c r="B94" s="5">
        <v>5</v>
      </c>
      <c r="C94" s="5">
        <v>1436</v>
      </c>
      <c r="D94" s="5">
        <v>1623</v>
      </c>
      <c r="E94" s="5">
        <f t="shared" si="9"/>
        <v>187</v>
      </c>
      <c r="F94" s="5">
        <v>3800</v>
      </c>
      <c r="G94" s="5">
        <v>0</v>
      </c>
      <c r="H94" s="5">
        <f t="shared" si="11"/>
        <v>710600</v>
      </c>
      <c r="I94" s="6" t="s">
        <v>13</v>
      </c>
    </row>
    <row r="95" ht="20.25" spans="1:15">
      <c r="A95" s="4"/>
      <c r="B95" s="5">
        <v>6</v>
      </c>
      <c r="C95" s="5">
        <v>1623</v>
      </c>
      <c r="D95" s="5">
        <v>1763</v>
      </c>
      <c r="E95" s="5">
        <f t="shared" si="9"/>
        <v>140</v>
      </c>
      <c r="F95" s="5">
        <v>3800</v>
      </c>
      <c r="G95" s="5">
        <v>0</v>
      </c>
      <c r="H95" s="5">
        <f t="shared" si="11"/>
        <v>532000</v>
      </c>
      <c r="I95" s="6" t="s">
        <v>13</v>
      </c>
    </row>
    <row r="96" ht="20.25" spans="1:15">
      <c r="A96" s="4"/>
      <c r="B96" s="5">
        <v>7</v>
      </c>
      <c r="C96" s="5">
        <v>1763</v>
      </c>
      <c r="D96" s="5">
        <v>1877</v>
      </c>
      <c r="E96" s="5">
        <f t="shared" si="9"/>
        <v>114</v>
      </c>
      <c r="F96" s="5">
        <v>3800</v>
      </c>
      <c r="G96" s="5">
        <v>0</v>
      </c>
      <c r="H96" s="5">
        <f t="shared" si="11"/>
        <v>433200</v>
      </c>
      <c r="I96" s="6" t="s">
        <v>13</v>
      </c>
    </row>
    <row r="97" ht="20.25" spans="1:10">
      <c r="A97" s="4"/>
      <c r="B97" s="5">
        <v>8</v>
      </c>
      <c r="C97" s="5">
        <v>1877</v>
      </c>
      <c r="D97" s="5">
        <v>2000</v>
      </c>
      <c r="E97" s="5">
        <f t="shared" si="9"/>
        <v>123</v>
      </c>
      <c r="F97" s="5">
        <v>3800</v>
      </c>
      <c r="G97" s="5">
        <v>0</v>
      </c>
      <c r="H97" s="5">
        <f t="shared" si="11"/>
        <v>467400</v>
      </c>
      <c r="I97" s="6" t="s">
        <v>13</v>
      </c>
    </row>
    <row r="98" ht="20.25" spans="1:10">
      <c r="B98" s="5">
        <v>9</v>
      </c>
      <c r="C98" s="5">
        <v>2000</v>
      </c>
      <c r="D98" s="5">
        <v>2104</v>
      </c>
      <c r="E98" s="5">
        <f t="shared" si="9"/>
        <v>104</v>
      </c>
      <c r="F98" s="5">
        <v>3800</v>
      </c>
      <c r="G98" s="5">
        <v>0</v>
      </c>
      <c r="H98" s="5">
        <f t="shared" si="11"/>
        <v>395200</v>
      </c>
      <c r="I98" s="6" t="s">
        <v>13</v>
      </c>
    </row>
    <row r="99" customFormat="1" ht="20.25" spans="1:10">
      <c r="B99" s="5">
        <v>10</v>
      </c>
      <c r="C99" s="5">
        <v>2104</v>
      </c>
      <c r="D99" s="5">
        <v>2230</v>
      </c>
      <c r="E99" s="5">
        <f t="shared" si="9"/>
        <v>126</v>
      </c>
      <c r="F99" s="5">
        <v>3800</v>
      </c>
      <c r="G99" s="5">
        <v>0</v>
      </c>
      <c r="H99" s="5">
        <f t="shared" si="11"/>
        <v>478800</v>
      </c>
      <c r="I99" s="6" t="s">
        <v>13</v>
      </c>
    </row>
    <row r="100" ht="20.25" spans="1:10">
      <c r="B100" s="5">
        <v>11</v>
      </c>
      <c r="C100" s="5">
        <v>2230</v>
      </c>
      <c r="D100" s="5">
        <v>2339</v>
      </c>
      <c r="E100" s="5">
        <f t="shared" si="9"/>
        <v>109</v>
      </c>
      <c r="F100" s="5">
        <v>3800</v>
      </c>
      <c r="G100" s="5">
        <v>0</v>
      </c>
      <c r="H100" s="5">
        <f t="shared" si="11"/>
        <v>414200</v>
      </c>
      <c r="I100" s="6" t="s">
        <v>13</v>
      </c>
    </row>
    <row r="101" customFormat="1" ht="20.25" spans="1:10">
      <c r="B101" s="5">
        <v>12</v>
      </c>
      <c r="C101" s="5">
        <v>2339</v>
      </c>
      <c r="D101" s="5">
        <v>2440</v>
      </c>
      <c r="E101" s="5">
        <f t="shared" si="9"/>
        <v>101</v>
      </c>
      <c r="F101" s="5">
        <v>3800</v>
      </c>
      <c r="G101" s="5">
        <v>0</v>
      </c>
      <c r="H101" s="5">
        <f t="shared" si="11"/>
        <v>383800</v>
      </c>
      <c r="I101" s="6" t="s">
        <v>13</v>
      </c>
    </row>
    <row r="102" s="8" customFormat="1" ht="21" spans="1:10">
      <c r="A102"/>
      <c r="E102" s="9" t="s">
        <v>17</v>
      </c>
    </row>
    <row r="103" ht="18.75" spans="1:10">
      <c r="B103" s="4" t="s">
        <v>4</v>
      </c>
      <c r="C103" s="4" t="s">
        <v>5</v>
      </c>
      <c r="D103" s="4" t="s">
        <v>6</v>
      </c>
      <c r="E103" s="4" t="s">
        <v>7</v>
      </c>
      <c r="F103" s="4" t="s">
        <v>8</v>
      </c>
      <c r="G103" s="4" t="s">
        <v>9</v>
      </c>
      <c r="H103" s="4" t="s">
        <v>10</v>
      </c>
      <c r="I103" s="4" t="s">
        <v>11</v>
      </c>
      <c r="J103" s="4" t="s">
        <v>12</v>
      </c>
    </row>
    <row r="104" customFormat="1" ht="20.25" spans="1:10">
      <c r="B104" s="5">
        <v>1</v>
      </c>
      <c r="C104" s="5">
        <v>2440</v>
      </c>
      <c r="D104" s="5">
        <v>2550</v>
      </c>
      <c r="E104" s="5">
        <f t="shared" ref="E104:E115" si="12">D104-C104</f>
        <v>110</v>
      </c>
      <c r="F104" s="5">
        <v>3800</v>
      </c>
      <c r="G104" s="5"/>
      <c r="H104" s="5">
        <f t="shared" ref="H104:H115" si="13">((D104-C104)*F104)+G104</f>
        <v>418000</v>
      </c>
      <c r="I104" s="6" t="s">
        <v>13</v>
      </c>
    </row>
    <row r="105" customFormat="1" ht="20.25" spans="1:10">
      <c r="B105" s="5">
        <v>2</v>
      </c>
      <c r="C105" s="5">
        <v>2550</v>
      </c>
      <c r="D105" s="5">
        <v>2647</v>
      </c>
      <c r="E105" s="5">
        <f t="shared" si="12"/>
        <v>97</v>
      </c>
      <c r="F105" s="5">
        <v>3800</v>
      </c>
      <c r="G105" s="5"/>
      <c r="H105" s="5">
        <f t="shared" si="13"/>
        <v>368600</v>
      </c>
      <c r="I105" s="6" t="s">
        <v>13</v>
      </c>
    </row>
    <row r="106" customFormat="1" ht="20.25" spans="1:10">
      <c r="A106" s="8"/>
      <c r="B106" s="5">
        <v>3</v>
      </c>
      <c r="C106" s="5">
        <v>2647</v>
      </c>
      <c r="D106" s="5">
        <v>2747</v>
      </c>
      <c r="E106" s="5">
        <f t="shared" si="12"/>
        <v>100</v>
      </c>
      <c r="F106" s="5">
        <v>3800</v>
      </c>
      <c r="G106" s="5"/>
      <c r="H106" s="5">
        <f t="shared" si="13"/>
        <v>380000</v>
      </c>
      <c r="I106" s="6" t="s">
        <v>13</v>
      </c>
    </row>
    <row r="107" customFormat="1" ht="20.25" spans="1:10">
      <c r="A107" s="4" t="s">
        <v>3</v>
      </c>
      <c r="B107" s="5">
        <v>4</v>
      </c>
      <c r="C107" s="5">
        <v>2747</v>
      </c>
      <c r="D107" s="5">
        <v>2882</v>
      </c>
      <c r="E107" s="5">
        <f t="shared" si="12"/>
        <v>135</v>
      </c>
      <c r="F107" s="5">
        <v>3800</v>
      </c>
      <c r="G107" s="5"/>
      <c r="H107" s="5">
        <f t="shared" si="13"/>
        <v>513000</v>
      </c>
      <c r="I107" s="6" t="s">
        <v>13</v>
      </c>
    </row>
    <row r="108" ht="20.25" spans="1:10">
      <c r="A108" s="4">
        <v>2025</v>
      </c>
      <c r="B108" s="5">
        <v>5</v>
      </c>
      <c r="C108" s="5">
        <v>2882</v>
      </c>
      <c r="D108" s="5">
        <v>3022</v>
      </c>
      <c r="E108" s="5">
        <f t="shared" si="12"/>
        <v>140</v>
      </c>
      <c r="F108" s="5">
        <v>3800</v>
      </c>
      <c r="G108" s="5"/>
      <c r="H108" s="5">
        <f t="shared" si="13"/>
        <v>532000</v>
      </c>
      <c r="I108" s="6" t="s">
        <v>13</v>
      </c>
    </row>
    <row r="109" ht="20.25" spans="1:10">
      <c r="A109" s="4"/>
      <c r="B109" s="5">
        <v>6</v>
      </c>
      <c r="C109" s="5">
        <v>3022</v>
      </c>
      <c r="D109" s="5">
        <v>3158</v>
      </c>
      <c r="E109" s="5">
        <f t="shared" si="12"/>
        <v>136</v>
      </c>
      <c r="F109" s="5">
        <v>3800</v>
      </c>
      <c r="G109" s="5"/>
      <c r="H109" s="5">
        <f t="shared" si="13"/>
        <v>516800</v>
      </c>
      <c r="I109" s="6" t="s">
        <v>13</v>
      </c>
    </row>
    <row r="110" ht="20.25" spans="1:10">
      <c r="A110" s="4"/>
      <c r="B110" s="5">
        <v>7</v>
      </c>
      <c r="C110" s="5">
        <v>3158</v>
      </c>
      <c r="D110" s="5">
        <v>3285</v>
      </c>
      <c r="E110" s="5">
        <f t="shared" si="12"/>
        <v>127</v>
      </c>
      <c r="F110" s="5">
        <v>4500</v>
      </c>
      <c r="G110" s="5"/>
      <c r="H110" s="5">
        <f t="shared" si="13"/>
        <v>571500</v>
      </c>
      <c r="I110" s="6" t="s">
        <v>13</v>
      </c>
    </row>
    <row r="111" ht="20.25" spans="1:10">
      <c r="A111" s="4"/>
      <c r="B111" s="5">
        <v>8</v>
      </c>
      <c r="C111" s="5">
        <v>3285</v>
      </c>
      <c r="D111" s="5">
        <v>3451</v>
      </c>
      <c r="E111" s="5">
        <f t="shared" si="12"/>
        <v>166</v>
      </c>
      <c r="F111" s="5">
        <v>4700</v>
      </c>
      <c r="G111" s="5"/>
      <c r="H111" s="5">
        <f t="shared" si="13"/>
        <v>780200</v>
      </c>
      <c r="I111" s="6" t="s">
        <v>13</v>
      </c>
    </row>
    <row r="112" customFormat="1" ht="20.25" spans="1:10">
      <c r="B112" s="5">
        <v>9</v>
      </c>
      <c r="C112" s="5">
        <v>3451</v>
      </c>
      <c r="D112" s="5">
        <v>3589</v>
      </c>
      <c r="E112" s="5">
        <f t="shared" si="12"/>
        <v>138</v>
      </c>
      <c r="F112" s="5">
        <v>4200</v>
      </c>
      <c r="G112" s="5"/>
      <c r="H112" s="5">
        <f t="shared" si="13"/>
        <v>579600</v>
      </c>
      <c r="I112" s="6" t="s">
        <v>13</v>
      </c>
    </row>
    <row r="113" ht="20.25" spans="2:9">
      <c r="B113" s="5">
        <v>10</v>
      </c>
      <c r="C113" s="5">
        <v>3589</v>
      </c>
      <c r="D113" s="5">
        <v>3723</v>
      </c>
      <c r="E113" s="5">
        <f t="shared" si="12"/>
        <v>134</v>
      </c>
      <c r="F113" s="5">
        <v>4200</v>
      </c>
      <c r="G113" s="5"/>
      <c r="H113" s="5">
        <f t="shared" si="13"/>
        <v>562800</v>
      </c>
      <c r="I113" s="6" t="s">
        <v>13</v>
      </c>
    </row>
    <row r="114" ht="20.25" spans="2:9">
      <c r="B114" s="5">
        <v>11</v>
      </c>
      <c r="C114" s="5">
        <v>3723</v>
      </c>
      <c r="D114" s="5">
        <v>3868</v>
      </c>
      <c r="E114" s="5">
        <f t="shared" si="12"/>
        <v>145</v>
      </c>
      <c r="F114" s="5">
        <v>4100</v>
      </c>
      <c r="G114" s="5"/>
      <c r="H114" s="5">
        <f t="shared" si="13"/>
        <v>594500</v>
      </c>
      <c r="I114" s="6" t="s">
        <v>13</v>
      </c>
    </row>
    <row r="115" ht="18.75" spans="2:9">
      <c r="B115" s="5">
        <v>12</v>
      </c>
      <c r="C115" s="5">
        <v>3868</v>
      </c>
      <c r="D115" s="5">
        <v>4123</v>
      </c>
      <c r="E115" s="5">
        <f t="shared" si="12"/>
        <v>255</v>
      </c>
      <c r="F115" s="5">
        <v>3500</v>
      </c>
      <c r="G115" s="5"/>
      <c r="H115" s="5">
        <f t="shared" si="13"/>
        <v>892500</v>
      </c>
    </row>
  </sheetData>
  <mergeCells count="17">
    <mergeCell ref="A1:O1"/>
    <mergeCell ref="A2:B2"/>
    <mergeCell ref="C2:O2"/>
    <mergeCell ref="A21:XFD21"/>
    <mergeCell ref="A36:XFD36"/>
    <mergeCell ref="C52:O52"/>
    <mergeCell ref="C84:O84"/>
    <mergeCell ref="A4:A7"/>
    <mergeCell ref="A8:A11"/>
    <mergeCell ref="A23:A26"/>
    <mergeCell ref="A38:A41"/>
    <mergeCell ref="A58:A61"/>
    <mergeCell ref="A62:A65"/>
    <mergeCell ref="A74:A77"/>
    <mergeCell ref="A90:A93"/>
    <mergeCell ref="A94:A97"/>
    <mergeCell ref="A108:A11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"/>
  <sheetViews>
    <sheetView tabSelected="1" topLeftCell="A21" workbookViewId="0">
      <selection activeCell="P38" sqref="P38"/>
    </sheetView>
  </sheetViews>
  <sheetFormatPr defaultColWidth="9.14285714285714" defaultRowHeight="15"/>
  <cols>
    <col min="1" max="1" width="15.1428571428571" customWidth="1"/>
    <col min="2" max="2" width="8.71428571428571" customWidth="1"/>
    <col min="3" max="3" width="22.5714285714286" customWidth="1"/>
    <col min="4" max="4" width="24.5714285714286" customWidth="1"/>
    <col min="5" max="5" width="19.8571428571429" customWidth="1"/>
    <col min="6" max="6" width="15.5714285714286" customWidth="1"/>
    <col min="7" max="7" width="16.1428571428571" customWidth="1"/>
    <col min="8" max="8" width="24.8571428571429" customWidth="1"/>
    <col min="9" max="9" width="14.2857142857143" customWidth="1"/>
    <col min="10" max="10" width="6.85714285714286" customWidth="1"/>
  </cols>
  <sheetData>
    <row r="1" ht="23.25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1" spans="1:15">
      <c r="A2" s="2" t="s">
        <v>1</v>
      </c>
      <c r="B2" s="2"/>
      <c r="C2" s="3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18.75" spans="1:15">
      <c r="A3" s="4"/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</row>
    <row r="4" ht="20.25" spans="1:15">
      <c r="A4" s="4">
        <v>2026</v>
      </c>
      <c r="B4" s="5">
        <v>1</v>
      </c>
      <c r="C4" s="5">
        <v>4549</v>
      </c>
      <c r="D4" s="5">
        <v>4683</v>
      </c>
      <c r="E4" s="5">
        <f t="shared" ref="E4:E7" si="0">D4-C4</f>
        <v>134</v>
      </c>
      <c r="F4" s="5">
        <v>3600</v>
      </c>
      <c r="G4" s="5"/>
      <c r="H4" s="5">
        <f t="shared" ref="H4:H7" si="1">((D4-C4)*F4)+G4</f>
        <v>482400</v>
      </c>
      <c r="I4" s="6" t="s">
        <v>13</v>
      </c>
    </row>
    <row r="5" ht="20.25" spans="1:15">
      <c r="A5" s="4"/>
      <c r="B5" s="5">
        <v>2</v>
      </c>
      <c r="C5" s="5">
        <v>4683</v>
      </c>
      <c r="D5" s="5">
        <v>4850</v>
      </c>
      <c r="E5" s="5">
        <f t="shared" si="0"/>
        <v>167</v>
      </c>
      <c r="F5" s="5">
        <v>3600</v>
      </c>
      <c r="G5" s="5"/>
      <c r="H5" s="5">
        <f t="shared" si="1"/>
        <v>601200</v>
      </c>
      <c r="I5" s="6" t="s">
        <v>13</v>
      </c>
    </row>
    <row r="6" ht="20.25" spans="1:15">
      <c r="A6" s="4"/>
      <c r="B6" s="5">
        <v>3</v>
      </c>
      <c r="C6" s="5">
        <v>4850</v>
      </c>
      <c r="D6" s="5">
        <v>5059</v>
      </c>
      <c r="E6" s="5">
        <f t="shared" si="0"/>
        <v>209</v>
      </c>
      <c r="F6" s="5">
        <v>3500</v>
      </c>
      <c r="G6" s="5"/>
      <c r="H6" s="5">
        <f t="shared" si="1"/>
        <v>731500</v>
      </c>
      <c r="I6" s="6" t="s">
        <v>13</v>
      </c>
    </row>
    <row r="7" ht="18.75" spans="1:15">
      <c r="A7" s="4"/>
      <c r="B7" s="5">
        <v>4</v>
      </c>
      <c r="C7" s="5">
        <v>5059</v>
      </c>
      <c r="D7" s="5">
        <v>5287</v>
      </c>
      <c r="E7" s="5">
        <f t="shared" si="0"/>
        <v>228</v>
      </c>
      <c r="F7" s="5">
        <v>3300</v>
      </c>
      <c r="G7" s="5"/>
      <c r="H7" s="5">
        <f t="shared" si="1"/>
        <v>752400</v>
      </c>
    </row>
    <row r="8" spans="1:15">
      <c r="A8" s="4"/>
    </row>
    <row r="9" spans="1:15">
      <c r="A9" s="4"/>
    </row>
    <row r="10" spans="1:15">
      <c r="A10" s="4"/>
    </row>
    <row r="11" spans="1:15">
      <c r="A11" s="4"/>
    </row>
    <row r="12" spans="1:15">
      <c r="A12" s="4"/>
    </row>
    <row r="13" spans="1:15">
      <c r="A13" s="4"/>
    </row>
    <row r="14" spans="1:15">
      <c r="A14" s="4"/>
    </row>
    <row r="15" spans="1:15">
      <c r="A15" s="4"/>
    </row>
    <row r="17" ht="18.75" spans="1:15">
      <c r="A17" s="4"/>
    </row>
    <row r="18" ht="21" spans="1:15">
      <c r="A18" s="2" t="s">
        <v>16</v>
      </c>
      <c r="B18" s="2"/>
      <c r="C18" s="3" t="s">
        <v>15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8.75" spans="1:15">
      <c r="A19" s="4"/>
      <c r="B19" s="4" t="s">
        <v>4</v>
      </c>
      <c r="C19" s="4" t="s">
        <v>5</v>
      </c>
      <c r="D19" s="4" t="s">
        <v>6</v>
      </c>
      <c r="E19" s="4" t="s">
        <v>7</v>
      </c>
      <c r="F19" s="4" t="s">
        <v>8</v>
      </c>
      <c r="G19" s="4" t="s">
        <v>9</v>
      </c>
      <c r="H19" s="4" t="s">
        <v>10</v>
      </c>
      <c r="I19" s="4" t="s">
        <v>11</v>
      </c>
      <c r="J19" s="4" t="s">
        <v>12</v>
      </c>
    </row>
    <row r="20" customFormat="1" ht="20.25" spans="1:15">
      <c r="A20" s="4">
        <v>2026</v>
      </c>
      <c r="B20" s="5">
        <v>1</v>
      </c>
      <c r="C20" s="5">
        <v>3705</v>
      </c>
      <c r="D20" s="5">
        <v>3859</v>
      </c>
      <c r="E20" s="5">
        <f t="shared" ref="E20:E23" si="2">D20-C20</f>
        <v>154</v>
      </c>
      <c r="F20" s="5">
        <v>3600</v>
      </c>
      <c r="G20" s="5"/>
      <c r="H20" s="5">
        <f t="shared" ref="H20:H23" si="3">((D20-C20)*F20)+G20</f>
        <v>554400</v>
      </c>
      <c r="I20" s="6" t="s">
        <v>13</v>
      </c>
    </row>
    <row r="21" customFormat="1" ht="20.25" spans="1:15">
      <c r="A21" s="4"/>
      <c r="B21" s="5">
        <v>2</v>
      </c>
      <c r="C21" s="5">
        <v>3859</v>
      </c>
      <c r="D21" s="5">
        <v>3987</v>
      </c>
      <c r="E21" s="5">
        <f t="shared" si="2"/>
        <v>128</v>
      </c>
      <c r="F21" s="5">
        <v>3600</v>
      </c>
      <c r="G21" s="5"/>
      <c r="H21" s="5">
        <f t="shared" si="3"/>
        <v>460800</v>
      </c>
      <c r="I21" s="6" t="s">
        <v>13</v>
      </c>
    </row>
    <row r="22" customFormat="1" ht="20.25" spans="1:15">
      <c r="A22" s="4"/>
      <c r="B22" s="5">
        <v>3</v>
      </c>
      <c r="C22" s="5">
        <v>3987</v>
      </c>
      <c r="D22" s="5">
        <v>4179</v>
      </c>
      <c r="E22" s="5">
        <f t="shared" si="2"/>
        <v>192</v>
      </c>
      <c r="F22" s="5">
        <v>3500</v>
      </c>
      <c r="G22" s="5"/>
      <c r="H22" s="5">
        <f t="shared" si="3"/>
        <v>672000</v>
      </c>
      <c r="I22" s="6" t="s">
        <v>13</v>
      </c>
    </row>
    <row r="23" customFormat="1" ht="18.75" spans="1:15">
      <c r="A23" s="4"/>
      <c r="B23" s="5">
        <v>4</v>
      </c>
      <c r="C23" s="5">
        <v>4179</v>
      </c>
      <c r="D23" s="5">
        <v>4429</v>
      </c>
      <c r="E23" s="5">
        <f t="shared" si="2"/>
        <v>250</v>
      </c>
      <c r="F23" s="5">
        <v>3300</v>
      </c>
      <c r="G23" s="5"/>
      <c r="H23" s="5">
        <f t="shared" si="3"/>
        <v>825000</v>
      </c>
    </row>
    <row r="24" customFormat="1" spans="1:15">
      <c r="A24" s="4"/>
    </row>
    <row r="25" customFormat="1" spans="1:15">
      <c r="A25" s="4"/>
    </row>
    <row r="26" customFormat="1" spans="1:15">
      <c r="A26" s="4"/>
    </row>
    <row r="27" customFormat="1" spans="1:15">
      <c r="A27" s="4"/>
    </row>
    <row r="28" customFormat="1" spans="1:15">
      <c r="A28" s="4"/>
    </row>
    <row r="29" customFormat="1" spans="1:15">
      <c r="A29" s="4"/>
    </row>
    <row r="30" customFormat="1" spans="1:15">
      <c r="A30" s="4"/>
    </row>
    <row r="31" customFormat="1" spans="1:15">
      <c r="A31" s="4"/>
    </row>
    <row r="34" ht="21" spans="1:15">
      <c r="A34" s="2" t="s">
        <v>18</v>
      </c>
      <c r="B34" s="2"/>
      <c r="C34" s="3" t="s">
        <v>19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ht="18.75" spans="1:15">
      <c r="A35" s="4"/>
      <c r="B35" s="4" t="s">
        <v>4</v>
      </c>
      <c r="C35" s="4" t="s">
        <v>5</v>
      </c>
      <c r="D35" s="4" t="s">
        <v>6</v>
      </c>
      <c r="E35" s="4" t="s">
        <v>7</v>
      </c>
      <c r="F35" s="4" t="s">
        <v>8</v>
      </c>
      <c r="G35" s="4" t="s">
        <v>9</v>
      </c>
      <c r="H35" s="4" t="s">
        <v>10</v>
      </c>
      <c r="I35" s="4" t="s">
        <v>11</v>
      </c>
      <c r="J35" s="4" t="s">
        <v>12</v>
      </c>
    </row>
    <row r="36" customFormat="1" ht="20.25" spans="1:15">
      <c r="A36" s="4">
        <v>2026</v>
      </c>
      <c r="B36" s="5">
        <v>1</v>
      </c>
      <c r="C36" s="5">
        <v>4123</v>
      </c>
      <c r="D36" s="5">
        <v>4306</v>
      </c>
      <c r="E36" s="5">
        <f t="shared" ref="E36:E39" si="4">D36-C36</f>
        <v>183</v>
      </c>
      <c r="F36" s="5">
        <v>3600</v>
      </c>
      <c r="G36" s="5"/>
      <c r="H36" s="5">
        <f t="shared" ref="H36:H39" si="5">((D36-C36)*F36)+G36</f>
        <v>658800</v>
      </c>
      <c r="I36" s="6" t="s">
        <v>13</v>
      </c>
    </row>
    <row r="37" customFormat="1" ht="20.25" spans="1:15">
      <c r="A37" s="4"/>
      <c r="B37" s="5">
        <v>2</v>
      </c>
      <c r="C37" s="5">
        <v>4306</v>
      </c>
      <c r="D37" s="5">
        <v>4486</v>
      </c>
      <c r="E37" s="5">
        <f t="shared" si="4"/>
        <v>180</v>
      </c>
      <c r="F37" s="5">
        <v>3600</v>
      </c>
      <c r="G37" s="5"/>
      <c r="H37" s="5">
        <f t="shared" si="5"/>
        <v>648000</v>
      </c>
      <c r="I37" s="6" t="s">
        <v>13</v>
      </c>
    </row>
    <row r="38" customFormat="1" ht="20.25" spans="1:15">
      <c r="A38" s="4"/>
      <c r="B38" s="5">
        <v>3</v>
      </c>
      <c r="C38" s="5">
        <v>4486</v>
      </c>
      <c r="D38" s="5">
        <v>4620</v>
      </c>
      <c r="E38" s="5">
        <f t="shared" si="4"/>
        <v>134</v>
      </c>
      <c r="F38" s="5">
        <v>3500</v>
      </c>
      <c r="G38" s="5"/>
      <c r="H38" s="5">
        <f t="shared" si="5"/>
        <v>469000</v>
      </c>
      <c r="I38" s="6" t="s">
        <v>13</v>
      </c>
    </row>
    <row r="39" customFormat="1" ht="18.75" spans="1:15">
      <c r="A39" s="4"/>
      <c r="B39" s="5">
        <v>4</v>
      </c>
      <c r="C39" s="5">
        <v>4620</v>
      </c>
      <c r="D39" s="5">
        <v>4737</v>
      </c>
      <c r="E39" s="5">
        <f t="shared" si="4"/>
        <v>117</v>
      </c>
      <c r="F39" s="5">
        <v>3300</v>
      </c>
      <c r="G39" s="5"/>
      <c r="H39" s="5">
        <f t="shared" si="5"/>
        <v>386100</v>
      </c>
    </row>
    <row r="40" customFormat="1" spans="1:15">
      <c r="A40" s="4"/>
    </row>
    <row r="41" customFormat="1" spans="1:15">
      <c r="A41" s="4"/>
    </row>
    <row r="42" customFormat="1" spans="1:15">
      <c r="A42" s="4"/>
    </row>
    <row r="43" customFormat="1" spans="1:15">
      <c r="A43" s="4"/>
    </row>
    <row r="44" customFormat="1" spans="1:15">
      <c r="A44" s="4"/>
    </row>
    <row r="45" customFormat="1" spans="1:15">
      <c r="A45" s="4"/>
    </row>
    <row r="46" customFormat="1" spans="1:15">
      <c r="A46" s="4"/>
    </row>
    <row r="47" customFormat="1" spans="1:15">
      <c r="A47" s="4"/>
    </row>
  </sheetData>
  <mergeCells count="10">
    <mergeCell ref="A1:O1"/>
    <mergeCell ref="A2:B2"/>
    <mergeCell ref="C2:O2"/>
    <mergeCell ref="A18:B18"/>
    <mergeCell ref="C18:O18"/>
    <mergeCell ref="A34:B34"/>
    <mergeCell ref="C34:O34"/>
    <mergeCell ref="A4:A15"/>
    <mergeCell ref="A20:A31"/>
    <mergeCell ref="A36:A4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kevinTran</cp:lastModifiedBy>
  <dcterms:created xsi:type="dcterms:W3CDTF">2023-10-22T01:38:00Z</dcterms:created>
  <dcterms:modified xsi:type="dcterms:W3CDTF">2026-05-01T21:18:15Z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21DAE2BBFB44432C9538F22DC6AE1246_12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